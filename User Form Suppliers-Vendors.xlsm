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webextensions/webextension1.xml" ContentType="application/vnd.ms-office.webextensi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san\Downloads\"/>
    </mc:Choice>
  </mc:AlternateContent>
  <xr:revisionPtr revIDLastSave="0" documentId="8_{3A175187-92D0-4501-8473-622C9B5229B9}" xr6:coauthVersionLast="47" xr6:coauthVersionMax="47" xr10:uidLastSave="{00000000-0000-0000-0000-000000000000}"/>
  <bookViews>
    <workbookView xWindow="-120" yWindow="-120" windowWidth="20730" windowHeight="11040" xr2:uid="{09241B16-56C0-4FFF-8C1C-8E2069777AA1}"/>
  </bookViews>
  <sheets>
    <sheet name="User Form" sheetId="2" r:id="rId1"/>
    <sheet name="Database" sheetId="1" r:id="rId2"/>
    <sheet name="Backend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1" i="2" l="1"/>
  <c r="S13" i="2" s="1"/>
  <c r="D42" i="2"/>
  <c r="I42" i="2"/>
  <c r="N42" i="2"/>
  <c r="M42" i="2"/>
  <c r="L42" i="2"/>
  <c r="K42" i="2"/>
  <c r="J42" i="2"/>
  <c r="H42" i="2"/>
  <c r="G42" i="2"/>
  <c r="F42" i="2"/>
  <c r="E42" i="2"/>
  <c r="C42" i="2"/>
  <c r="B42" i="2"/>
  <c r="A42" i="2"/>
  <c r="E7" i="2"/>
  <c r="E9" i="2"/>
  <c r="E11" i="2"/>
  <c r="E13" i="2"/>
  <c r="E15" i="2"/>
  <c r="E17" i="2"/>
  <c r="E19" i="2"/>
  <c r="J7" i="2"/>
  <c r="J9" i="2"/>
  <c r="J13" i="2"/>
  <c r="J15" i="2"/>
  <c r="J17" i="2"/>
  <c r="J19" i="2"/>
</calcChain>
</file>

<file path=xl/sharedStrings.xml><?xml version="1.0" encoding="utf-8"?>
<sst xmlns="http://schemas.openxmlformats.org/spreadsheetml/2006/main" count="150" uniqueCount="75">
  <si>
    <t>SKU</t>
  </si>
  <si>
    <t>Product Name</t>
  </si>
  <si>
    <t>Quantity</t>
  </si>
  <si>
    <t>Price</t>
  </si>
  <si>
    <t xml:space="preserve">Supplier ID </t>
  </si>
  <si>
    <t>Supplier Name</t>
  </si>
  <si>
    <t>Date of Order</t>
  </si>
  <si>
    <t>ETA</t>
  </si>
  <si>
    <t>Order made by</t>
  </si>
  <si>
    <t>Approved by</t>
  </si>
  <si>
    <t>Approval Date</t>
  </si>
  <si>
    <t>Contract No</t>
  </si>
  <si>
    <t>Order ID</t>
  </si>
  <si>
    <t>Invoice No</t>
  </si>
  <si>
    <t>:</t>
  </si>
  <si>
    <r>
      <t xml:space="preserve">       </t>
    </r>
    <r>
      <rPr>
        <b/>
        <sz val="12"/>
        <color theme="1"/>
        <rFont val="Calibri"/>
        <family val="2"/>
        <scheme val="minor"/>
      </rPr>
      <t xml:space="preserve">   Verified before submitting</t>
    </r>
  </si>
  <si>
    <t>JNE1233</t>
  </si>
  <si>
    <t>USB-C Charging Cable</t>
  </si>
  <si>
    <t>SET414</t>
  </si>
  <si>
    <t>Bose SoundSport Headphones</t>
  </si>
  <si>
    <t>SET261</t>
  </si>
  <si>
    <t>Google Phone</t>
  </si>
  <si>
    <t>SET110</t>
  </si>
  <si>
    <t>Wired Headphones</t>
  </si>
  <si>
    <t>JNE3474</t>
  </si>
  <si>
    <t>Macbook Pro Laptop</t>
  </si>
  <si>
    <t>J0181</t>
  </si>
  <si>
    <t>Lightning Charging Cable</t>
  </si>
  <si>
    <t>SET217</t>
  </si>
  <si>
    <t>27in 4K Gaming Monitor</t>
  </si>
  <si>
    <t>SET185</t>
  </si>
  <si>
    <t>AA Batteries (4-pack)</t>
  </si>
  <si>
    <t>J0124</t>
  </si>
  <si>
    <t>Apple Airpods Headphones</t>
  </si>
  <si>
    <t>SET233</t>
  </si>
  <si>
    <t>AAA Batteries (4-pack)</t>
  </si>
  <si>
    <t>MEN5025</t>
  </si>
  <si>
    <t>iPhone</t>
  </si>
  <si>
    <t>JNE3797</t>
  </si>
  <si>
    <t>Flatscreen TV</t>
  </si>
  <si>
    <t>J0231</t>
  </si>
  <si>
    <t>27in FHD Monitor</t>
  </si>
  <si>
    <t>SET320</t>
  </si>
  <si>
    <t>20in Monitor</t>
  </si>
  <si>
    <t>J0113</t>
  </si>
  <si>
    <t>LG Dryer</t>
  </si>
  <si>
    <t>JNE3560</t>
  </si>
  <si>
    <t>ThinkPad Laptop</t>
  </si>
  <si>
    <t>JNE3518</t>
  </si>
  <si>
    <t>Vareebadd Phone</t>
  </si>
  <si>
    <t>J0338</t>
  </si>
  <si>
    <t>LG Washing Machine</t>
  </si>
  <si>
    <t>U0315</t>
  </si>
  <si>
    <t>34in Ultrawide Monitor</t>
  </si>
  <si>
    <t>Supplier 1</t>
  </si>
  <si>
    <t>Supplier 4</t>
  </si>
  <si>
    <t>Supplier 2</t>
  </si>
  <si>
    <t>Supplier 3</t>
  </si>
  <si>
    <t>Supplier 5</t>
  </si>
  <si>
    <t>Best Buy</t>
  </si>
  <si>
    <t>Dell</t>
  </si>
  <si>
    <t>HP</t>
  </si>
  <si>
    <t>Skull Candy</t>
  </si>
  <si>
    <t>Bose</t>
  </si>
  <si>
    <t>Peter</t>
  </si>
  <si>
    <t>Daniel</t>
  </si>
  <si>
    <t>Katy</t>
  </si>
  <si>
    <t>Pearly</t>
  </si>
  <si>
    <t>Selena</t>
  </si>
  <si>
    <t>Taylor</t>
  </si>
  <si>
    <t>SUBMIT</t>
  </si>
  <si>
    <t>RESET</t>
  </si>
  <si>
    <t>* These fields are mandatory</t>
  </si>
  <si>
    <t>Director</t>
  </si>
  <si>
    <t>PURCHASE ORDER DATA ENTRY 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</si>
</sst>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2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vertAlign val="superscript"/>
      <sz val="16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8"/>
      <color rgb="FF000000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0" fontId="0" fillId="3" borderId="1" xfId="0" applyFill="1" applyBorder="1"/>
    <xf numFmtId="0" fontId="0" fillId="0" borderId="2" xfId="0" applyBorder="1"/>
    <xf numFmtId="0" fontId="0" fillId="0" borderId="3" xfId="0" applyBorder="1"/>
    <xf numFmtId="0" fontId="8" fillId="4" borderId="0" xfId="0" applyFont="1" applyFill="1" applyAlignment="1">
      <alignment horizontal="center" vertical="center"/>
    </xf>
    <xf numFmtId="0" fontId="0" fillId="5" borderId="0" xfId="0" applyFill="1"/>
    <xf numFmtId="0" fontId="1" fillId="5" borderId="0" xfId="0" applyFont="1" applyFill="1"/>
    <xf numFmtId="0" fontId="2" fillId="5" borderId="0" xfId="0" applyFont="1" applyFill="1"/>
    <xf numFmtId="0" fontId="3" fillId="5" borderId="0" xfId="0" applyFont="1" applyFill="1"/>
    <xf numFmtId="0" fontId="4" fillId="5" borderId="0" xfId="0" applyFont="1" applyFill="1"/>
    <xf numFmtId="14" fontId="1" fillId="0" borderId="0" xfId="0" applyNumberFormat="1" applyFont="1"/>
    <xf numFmtId="14" fontId="0" fillId="0" borderId="0" xfId="0" applyNumberFormat="1"/>
    <xf numFmtId="164" fontId="0" fillId="0" borderId="0" xfId="0" applyNumberFormat="1"/>
    <xf numFmtId="2" fontId="0" fillId="0" borderId="0" xfId="0" applyNumberFormat="1"/>
    <xf numFmtId="0" fontId="5" fillId="6" borderId="0" xfId="0" applyFont="1" applyFill="1" applyAlignment="1">
      <alignment horizontal="center" vertical="center"/>
    </xf>
    <xf numFmtId="2" fontId="5" fillId="6" borderId="0" xfId="0" applyNumberFormat="1" applyFont="1" applyFill="1" applyAlignment="1">
      <alignment horizontal="center" vertical="center"/>
    </xf>
    <xf numFmtId="164" fontId="5" fillId="6" borderId="0" xfId="0" applyNumberFormat="1" applyFont="1" applyFill="1" applyAlignment="1">
      <alignment horizontal="center" vertical="center"/>
    </xf>
    <xf numFmtId="14" fontId="5" fillId="6" borderId="0" xfId="0" applyNumberFormat="1" applyFont="1" applyFill="1" applyAlignment="1">
      <alignment horizontal="center" vertical="center"/>
    </xf>
    <xf numFmtId="0" fontId="1" fillId="5" borderId="4" xfId="0" applyFont="1" applyFill="1" applyBorder="1"/>
    <xf numFmtId="2" fontId="1" fillId="5" borderId="4" xfId="0" applyNumberFormat="1" applyFont="1" applyFill="1" applyBorder="1"/>
    <xf numFmtId="164" fontId="1" fillId="5" borderId="4" xfId="0" applyNumberFormat="1" applyFont="1" applyFill="1" applyBorder="1"/>
    <xf numFmtId="14" fontId="1" fillId="5" borderId="4" xfId="0" applyNumberFormat="1" applyFont="1" applyFill="1" applyBorder="1"/>
    <xf numFmtId="0" fontId="0" fillId="0" borderId="5" xfId="0" applyBorder="1"/>
    <xf numFmtId="0" fontId="0" fillId="0" borderId="6" xfId="0" applyBorder="1"/>
    <xf numFmtId="2" fontId="0" fillId="0" borderId="6" xfId="0" applyNumberFormat="1" applyBorder="1"/>
    <xf numFmtId="164" fontId="0" fillId="0" borderId="6" xfId="0" applyNumberFormat="1" applyBorder="1"/>
    <xf numFmtId="14" fontId="0" fillId="0" borderId="6" xfId="0" applyNumberFormat="1" applyBorder="1"/>
    <xf numFmtId="0" fontId="0" fillId="0" borderId="7" xfId="0" applyBorder="1"/>
    <xf numFmtId="0" fontId="0" fillId="0" borderId="4" xfId="0" applyBorder="1"/>
    <xf numFmtId="2" fontId="0" fillId="0" borderId="4" xfId="0" applyNumberFormat="1" applyBorder="1"/>
    <xf numFmtId="164" fontId="0" fillId="0" borderId="4" xfId="0" applyNumberFormat="1" applyBorder="1"/>
    <xf numFmtId="14" fontId="0" fillId="0" borderId="4" xfId="0" applyNumberFormat="1" applyBorder="1"/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/>
    <xf numFmtId="14" fontId="0" fillId="0" borderId="1" xfId="0" applyNumberFormat="1" applyBorder="1"/>
    <xf numFmtId="0" fontId="10" fillId="7" borderId="1" xfId="0" applyFont="1" applyFill="1" applyBorder="1"/>
    <xf numFmtId="0" fontId="10" fillId="7" borderId="2" xfId="0" applyFont="1" applyFill="1" applyBorder="1"/>
    <xf numFmtId="0" fontId="10" fillId="7" borderId="3" xfId="0" applyFont="1" applyFill="1" applyBorder="1"/>
    <xf numFmtId="0" fontId="0" fillId="5" borderId="0" xfId="0" applyFill="1" applyAlignment="1">
      <alignment horizontal="left"/>
    </xf>
    <xf numFmtId="0" fontId="9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5"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fmlaLink="$S$9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CheckBox" checked="Checked" fmlaLink="$S$10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Relationship Id="rId4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175260</xdr:colOff>
      <xdr:row>6</xdr:row>
      <xdr:rowOff>186690</xdr:rowOff>
    </xdr:from>
    <xdr:to>
      <xdr:col>13</xdr:col>
      <xdr:colOff>304800</xdr:colOff>
      <xdr:row>16</xdr:row>
      <xdr:rowOff>224790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Add-in 1" title="Mini Calendar and Date Picker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Add-in 1" title="Mini Calendar and Date Picker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14</xdr:row>
          <xdr:rowOff>38100</xdr:rowOff>
        </xdr:from>
        <xdr:to>
          <xdr:col>8</xdr:col>
          <xdr:colOff>590550</xdr:colOff>
          <xdr:row>14</xdr:row>
          <xdr:rowOff>247650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Manager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1009650</xdr:colOff>
          <xdr:row>14</xdr:row>
          <xdr:rowOff>19050</xdr:rowOff>
        </xdr:from>
        <xdr:to>
          <xdr:col>8</xdr:col>
          <xdr:colOff>1476375</xdr:colOff>
          <xdr:row>15</xdr:row>
          <xdr:rowOff>9525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Director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20</xdr:row>
          <xdr:rowOff>47625</xdr:rowOff>
        </xdr:from>
        <xdr:to>
          <xdr:col>1</xdr:col>
          <xdr:colOff>333375</xdr:colOff>
          <xdr:row>21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1417320</xdr:colOff>
          <xdr:row>21</xdr:row>
          <xdr:rowOff>129540</xdr:rowOff>
        </xdr:from>
        <xdr:to>
          <xdr:col>5</xdr:col>
          <xdr:colOff>601980</xdr:colOff>
          <xdr:row>22</xdr:row>
          <xdr:rowOff>259080</xdr:rowOff>
        </xdr:to>
        <xdr:pic macro="[0]!Macro9">
          <xdr:nvPicPr>
            <xdr:cNvPr id="8" name="Picture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38" spid="_x0000_s109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4366260" y="5029200"/>
              <a:ext cx="1386840" cy="396240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1158240</xdr:colOff>
          <xdr:row>21</xdr:row>
          <xdr:rowOff>91440</xdr:rowOff>
        </xdr:from>
        <xdr:to>
          <xdr:col>8</xdr:col>
          <xdr:colOff>1005840</xdr:colOff>
          <xdr:row>22</xdr:row>
          <xdr:rowOff>220980</xdr:rowOff>
        </xdr:to>
        <xdr:pic macro="[0]!Macro11">
          <xdr:nvPicPr>
            <xdr:cNvPr id="11" name="Pictur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G$39" spid="_x0000_s109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6934200" y="4991100"/>
              <a:ext cx="1386840" cy="396240"/>
            </a:xfrm>
            <a:prstGeom prst="rect">
              <a:avLst/>
            </a:prstGeom>
            <a:noFill/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webextension1.xml><?xml version="1.0" encoding="utf-8"?>
<we:webextension xmlns:we="http://schemas.microsoft.com/office/webextensions/webextension/2010/11" id="{BE30A302-8CCA-3CF3-191A-D8B1E4C2A4B2}">
  <we:reference id="wa102957665" version="1.3.0.0" store="en-US" storeType="OMEX"/>
  <we:alternateReferences>
    <we:reference id="WA102957665" version="1.3.0.0" store="WA102957665" storeType="OMEX"/>
  </we:alternateReferences>
  <we:properties>
    <we:property name="opt_cal_sys" value="1"/>
    <we:property name="opt_wn" value="false"/>
    <we:property name="opt_theme" value="5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E0B1C-5583-4554-9CD4-1AAA8530A4E4}">
  <sheetPr codeName="Sheet2"/>
  <dimension ref="A4:S42"/>
  <sheetViews>
    <sheetView showGridLines="0" tabSelected="1" topLeftCell="B42" zoomScaleNormal="100" workbookViewId="0">
      <selection activeCell="I54" sqref="I54"/>
    </sheetView>
  </sheetViews>
  <sheetFormatPr defaultRowHeight="21" x14ac:dyDescent="0.35"/>
  <cols>
    <col min="1" max="1" width="20" customWidth="1"/>
    <col min="2" max="2" width="19.85546875" bestFit="1" customWidth="1"/>
    <col min="3" max="3" width="3.140625" customWidth="1"/>
    <col min="4" max="4" width="27.5703125" customWidth="1"/>
    <col min="5" max="5" width="4.5703125" customWidth="1"/>
    <col min="6" max="6" width="9.140625" customWidth="1"/>
    <col min="7" max="7" width="20.140625" customWidth="1"/>
    <col min="8" max="8" width="2.28515625" customWidth="1"/>
    <col min="9" max="9" width="29.140625" style="1" customWidth="1"/>
    <col min="10" max="10" width="4.28515625" customWidth="1"/>
    <col min="11" max="11" width="17.140625" customWidth="1"/>
    <col min="12" max="12" width="14.85546875" customWidth="1"/>
    <col min="13" max="13" width="13.140625" customWidth="1"/>
  </cols>
  <sheetData>
    <row r="4" spans="2:19" ht="21" customHeight="1" x14ac:dyDescent="0.25">
      <c r="B4" s="41" t="s">
        <v>74</v>
      </c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</row>
    <row r="5" spans="2:19" x14ac:dyDescent="0.35">
      <c r="B5" s="6"/>
      <c r="C5" s="6"/>
      <c r="D5" s="6"/>
      <c r="E5" s="6"/>
      <c r="F5" s="6"/>
      <c r="G5" s="6"/>
      <c r="H5" s="6"/>
      <c r="I5" s="7"/>
      <c r="J5" s="6"/>
      <c r="K5" s="6"/>
      <c r="L5" s="6"/>
      <c r="M5" s="6"/>
      <c r="N5" s="6"/>
    </row>
    <row r="6" spans="2:19" x14ac:dyDescent="0.35">
      <c r="B6" s="6"/>
      <c r="C6" s="6"/>
      <c r="D6" s="6"/>
      <c r="E6" s="6"/>
      <c r="F6" s="6"/>
      <c r="G6" s="6"/>
      <c r="H6" s="6"/>
      <c r="I6" s="7"/>
      <c r="J6" s="6"/>
      <c r="K6" s="6"/>
      <c r="L6" s="6"/>
      <c r="M6" s="6"/>
      <c r="N6" s="6"/>
    </row>
    <row r="7" spans="2:19" ht="23.25" x14ac:dyDescent="0.35">
      <c r="B7" s="8" t="s">
        <v>0</v>
      </c>
      <c r="C7" s="8" t="s">
        <v>14</v>
      </c>
      <c r="D7" s="19"/>
      <c r="E7" s="9" t="str">
        <f>IF(D7="","*",1)</f>
        <v>*</v>
      </c>
      <c r="F7" s="8"/>
      <c r="G7" s="8" t="s">
        <v>13</v>
      </c>
      <c r="H7" s="8" t="s">
        <v>14</v>
      </c>
      <c r="I7" s="19"/>
      <c r="J7" s="9" t="str">
        <f>IF(I7="","*",1)</f>
        <v>*</v>
      </c>
      <c r="K7" s="6"/>
      <c r="L7" s="6"/>
      <c r="M7" s="6"/>
      <c r="N7" s="6"/>
    </row>
    <row r="8" spans="2:19" ht="9" customHeight="1" x14ac:dyDescent="0.35">
      <c r="B8" s="8"/>
      <c r="C8" s="8"/>
      <c r="D8" s="7"/>
      <c r="E8" s="8"/>
      <c r="F8" s="8"/>
      <c r="G8" s="8"/>
      <c r="H8" s="8"/>
      <c r="I8" s="7"/>
      <c r="J8" s="6"/>
      <c r="K8" s="6"/>
      <c r="L8" s="6"/>
      <c r="M8" s="6"/>
      <c r="N8" s="6"/>
    </row>
    <row r="9" spans="2:19" ht="23.25" x14ac:dyDescent="0.35">
      <c r="B9" s="8" t="s">
        <v>1</v>
      </c>
      <c r="C9" s="8" t="s">
        <v>14</v>
      </c>
      <c r="D9" s="19"/>
      <c r="E9" s="9" t="str">
        <f>IF(D9="","*",1)</f>
        <v>*</v>
      </c>
      <c r="F9" s="8"/>
      <c r="G9" s="8" t="s">
        <v>6</v>
      </c>
      <c r="H9" s="8" t="s">
        <v>14</v>
      </c>
      <c r="I9" s="22"/>
      <c r="J9" s="9" t="str">
        <f>IF(I9="","*",1)</f>
        <v>*</v>
      </c>
      <c r="K9" s="6"/>
      <c r="L9" s="6"/>
      <c r="M9" s="6"/>
      <c r="N9" s="6"/>
      <c r="S9" s="37">
        <v>1</v>
      </c>
    </row>
    <row r="10" spans="2:19" ht="9" customHeight="1" x14ac:dyDescent="0.35">
      <c r="B10" s="8"/>
      <c r="C10" s="8"/>
      <c r="D10" s="7"/>
      <c r="E10" s="8"/>
      <c r="F10" s="8"/>
      <c r="G10" s="8"/>
      <c r="H10" s="8"/>
      <c r="I10" s="7"/>
      <c r="J10" s="6"/>
      <c r="K10" s="6"/>
      <c r="L10" s="6"/>
      <c r="M10" s="6"/>
      <c r="N10" s="6"/>
      <c r="S10" s="38" t="b">
        <v>1</v>
      </c>
    </row>
    <row r="11" spans="2:19" ht="23.25" x14ac:dyDescent="0.35">
      <c r="B11" s="8" t="s">
        <v>2</v>
      </c>
      <c r="C11" s="8" t="s">
        <v>14</v>
      </c>
      <c r="D11" s="20"/>
      <c r="E11" s="9" t="str">
        <f>IF(D11="","*",1)</f>
        <v>*</v>
      </c>
      <c r="F11" s="8"/>
      <c r="G11" s="8" t="s">
        <v>7</v>
      </c>
      <c r="H11" s="8" t="s">
        <v>14</v>
      </c>
      <c r="I11" s="22"/>
      <c r="J11" s="9"/>
      <c r="K11" s="6"/>
      <c r="L11" s="6"/>
      <c r="M11" s="6"/>
      <c r="N11" s="6"/>
      <c r="S11" s="38">
        <f>COUNTA(D7,D9,D11,D13,D15,D17,D19,I19,I17,I13,I9,I7,I15)</f>
        <v>0</v>
      </c>
    </row>
    <row r="12" spans="2:19" ht="9" customHeight="1" x14ac:dyDescent="0.35">
      <c r="B12" s="8"/>
      <c r="C12" s="8"/>
      <c r="D12" s="7"/>
      <c r="E12" s="8"/>
      <c r="F12" s="8"/>
      <c r="G12" s="8"/>
      <c r="H12" s="8"/>
      <c r="I12" s="7"/>
      <c r="J12" s="6"/>
      <c r="K12" s="6"/>
      <c r="L12" s="6"/>
      <c r="M12" s="6"/>
      <c r="N12" s="6"/>
      <c r="S12" s="38"/>
    </row>
    <row r="13" spans="2:19" ht="23.25" x14ac:dyDescent="0.35">
      <c r="B13" s="8" t="s">
        <v>3</v>
      </c>
      <c r="C13" s="8" t="s">
        <v>14</v>
      </c>
      <c r="D13" s="21"/>
      <c r="E13" s="9" t="str">
        <f>IF(D13="","*",1)</f>
        <v>*</v>
      </c>
      <c r="F13" s="8"/>
      <c r="G13" s="8" t="s">
        <v>8</v>
      </c>
      <c r="H13" s="8" t="s">
        <v>14</v>
      </c>
      <c r="I13" s="22"/>
      <c r="J13" s="9" t="str">
        <f>IF(I13="","*",1)</f>
        <v>*</v>
      </c>
      <c r="K13" s="6"/>
      <c r="L13" s="6"/>
      <c r="M13" s="6"/>
      <c r="N13" s="6"/>
      <c r="S13" s="39" t="b">
        <f>AND(S10=TRUE,S11=12)</f>
        <v>0</v>
      </c>
    </row>
    <row r="14" spans="2:19" ht="9" customHeight="1" x14ac:dyDescent="0.35">
      <c r="B14" s="8"/>
      <c r="C14" s="8"/>
      <c r="D14" s="7"/>
      <c r="E14" s="8"/>
      <c r="F14" s="8"/>
      <c r="G14" s="8"/>
      <c r="H14" s="8"/>
      <c r="I14" s="7"/>
      <c r="J14" s="6"/>
      <c r="K14" s="6"/>
      <c r="L14" s="6"/>
      <c r="M14" s="6"/>
      <c r="N14" s="6"/>
    </row>
    <row r="15" spans="2:19" ht="23.25" x14ac:dyDescent="0.35">
      <c r="B15" s="8" t="s">
        <v>4</v>
      </c>
      <c r="C15" s="8" t="s">
        <v>14</v>
      </c>
      <c r="D15" s="19"/>
      <c r="E15" s="9" t="str">
        <f>IF(D15="","*",1)</f>
        <v>*</v>
      </c>
      <c r="F15" s="8"/>
      <c r="G15" s="8" t="s">
        <v>9</v>
      </c>
      <c r="H15" s="8" t="s">
        <v>14</v>
      </c>
      <c r="I15" s="6"/>
      <c r="J15" s="9" t="str">
        <f>IF(I15="","*",1)</f>
        <v>*</v>
      </c>
      <c r="K15" s="6"/>
      <c r="L15" s="6"/>
      <c r="M15" s="6"/>
      <c r="N15" s="6"/>
    </row>
    <row r="16" spans="2:19" ht="9" customHeight="1" x14ac:dyDescent="0.35">
      <c r="B16" s="8"/>
      <c r="C16" s="8"/>
      <c r="D16" s="7"/>
      <c r="E16" s="8"/>
      <c r="F16" s="8"/>
      <c r="G16" s="8"/>
      <c r="H16" s="8"/>
      <c r="I16" s="7"/>
      <c r="J16" s="6"/>
      <c r="K16" s="6"/>
      <c r="L16" s="6"/>
      <c r="M16" s="6"/>
      <c r="N16" s="6"/>
    </row>
    <row r="17" spans="2:14" ht="23.25" x14ac:dyDescent="0.35">
      <c r="B17" s="8" t="s">
        <v>5</v>
      </c>
      <c r="C17" s="8" t="s">
        <v>14</v>
      </c>
      <c r="D17" s="19"/>
      <c r="E17" s="9" t="str">
        <f>IF(D17="","*",1)</f>
        <v>*</v>
      </c>
      <c r="F17" s="8"/>
      <c r="G17" s="8" t="s">
        <v>10</v>
      </c>
      <c r="H17" s="8" t="s">
        <v>14</v>
      </c>
      <c r="I17" s="22"/>
      <c r="J17" s="9" t="str">
        <f>IF(I17="","*",1)</f>
        <v>*</v>
      </c>
      <c r="K17" s="6"/>
      <c r="L17" s="6"/>
      <c r="M17" s="6"/>
      <c r="N17" s="6"/>
    </row>
    <row r="18" spans="2:14" ht="9" customHeight="1" x14ac:dyDescent="0.35">
      <c r="B18" s="8"/>
      <c r="C18" s="8"/>
      <c r="D18" s="7"/>
      <c r="E18" s="8"/>
      <c r="F18" s="8"/>
      <c r="G18" s="8"/>
      <c r="H18" s="8"/>
      <c r="I18" s="7"/>
      <c r="J18" s="6"/>
      <c r="K18" s="6"/>
      <c r="L18" s="6"/>
      <c r="M18" s="6"/>
      <c r="N18" s="6"/>
    </row>
    <row r="19" spans="2:14" ht="23.25" x14ac:dyDescent="0.35">
      <c r="B19" s="8" t="s">
        <v>12</v>
      </c>
      <c r="C19" s="8" t="s">
        <v>14</v>
      </c>
      <c r="D19" s="19"/>
      <c r="E19" s="9" t="str">
        <f>IF(D19="","*",1)</f>
        <v>*</v>
      </c>
      <c r="F19" s="8"/>
      <c r="G19" s="8" t="s">
        <v>11</v>
      </c>
      <c r="H19" s="8" t="s">
        <v>14</v>
      </c>
      <c r="I19" s="22"/>
      <c r="J19" s="9" t="str">
        <f>IF(I19="","*",1)</f>
        <v>*</v>
      </c>
      <c r="K19" s="6"/>
      <c r="L19" s="6"/>
      <c r="M19" s="6"/>
      <c r="N19" s="6"/>
    </row>
    <row r="20" spans="2:14" x14ac:dyDescent="0.35">
      <c r="B20" s="6"/>
      <c r="C20" s="6"/>
      <c r="D20" s="6"/>
      <c r="E20" s="6"/>
      <c r="F20" s="6"/>
      <c r="G20" s="6"/>
      <c r="H20" s="6"/>
      <c r="I20" s="7"/>
      <c r="J20" s="6"/>
      <c r="K20" s="6"/>
      <c r="L20" s="6"/>
      <c r="M20" s="6"/>
      <c r="N20" s="6"/>
    </row>
    <row r="21" spans="2:14" x14ac:dyDescent="0.35">
      <c r="B21" s="40" t="s">
        <v>15</v>
      </c>
      <c r="C21" s="40"/>
      <c r="D21" s="40"/>
      <c r="E21" s="10" t="s">
        <v>72</v>
      </c>
      <c r="F21" s="6"/>
      <c r="G21" s="6"/>
      <c r="H21" s="6"/>
      <c r="I21" s="7"/>
      <c r="J21" s="6"/>
      <c r="K21" s="6"/>
      <c r="L21" s="6"/>
      <c r="M21" s="6"/>
      <c r="N21" s="6"/>
    </row>
    <row r="22" spans="2:14" x14ac:dyDescent="0.35">
      <c r="B22" s="6"/>
      <c r="C22" s="6"/>
      <c r="D22" s="6"/>
      <c r="E22" s="6"/>
      <c r="F22" s="6"/>
      <c r="G22" s="6"/>
      <c r="H22" s="6"/>
      <c r="I22" s="7"/>
      <c r="J22" s="6"/>
      <c r="K22" s="6"/>
      <c r="L22" s="6"/>
      <c r="M22" s="6"/>
      <c r="N22" s="6"/>
    </row>
    <row r="23" spans="2:14" x14ac:dyDescent="0.35">
      <c r="B23" s="6"/>
      <c r="C23" s="6"/>
      <c r="D23" s="6"/>
      <c r="E23" s="6"/>
      <c r="F23" s="6"/>
      <c r="G23" s="6"/>
      <c r="H23" s="6"/>
      <c r="I23" s="7"/>
      <c r="J23" s="6"/>
      <c r="K23" s="6"/>
      <c r="L23" s="6"/>
      <c r="M23" s="6"/>
      <c r="N23" s="6"/>
    </row>
    <row r="24" spans="2:14" x14ac:dyDescent="0.35">
      <c r="B24" s="6"/>
      <c r="C24" s="6"/>
      <c r="D24" s="6"/>
      <c r="E24" s="6"/>
      <c r="F24" s="6"/>
      <c r="G24" s="6"/>
      <c r="H24" s="6"/>
      <c r="I24" s="7"/>
      <c r="J24" s="6"/>
      <c r="K24" s="6"/>
      <c r="L24" s="6"/>
      <c r="M24" s="6"/>
      <c r="N24" s="6"/>
    </row>
    <row r="25" spans="2:14" x14ac:dyDescent="0.35">
      <c r="B25" s="6"/>
      <c r="C25" s="6"/>
      <c r="D25" s="6"/>
      <c r="E25" s="6"/>
      <c r="F25" s="6"/>
      <c r="G25" s="6"/>
      <c r="H25" s="6"/>
      <c r="I25" s="7"/>
      <c r="J25" s="6"/>
      <c r="K25" s="6"/>
      <c r="L25" s="6"/>
      <c r="M25" s="6"/>
      <c r="N25" s="6"/>
    </row>
    <row r="37" spans="1:14" ht="10.9" customHeight="1" x14ac:dyDescent="0.35"/>
    <row r="38" spans="1:14" ht="30.6" customHeight="1" x14ac:dyDescent="0.35">
      <c r="G38" s="5" t="s">
        <v>70</v>
      </c>
    </row>
    <row r="39" spans="1:14" ht="30.6" customHeight="1" x14ac:dyDescent="0.35">
      <c r="G39" s="5" t="s">
        <v>71</v>
      </c>
    </row>
    <row r="41" spans="1:14" x14ac:dyDescent="0.35">
      <c r="A41" t="s">
        <v>0</v>
      </c>
      <c r="B41" t="s">
        <v>1</v>
      </c>
      <c r="C41" t="s">
        <v>2</v>
      </c>
      <c r="D41" t="s">
        <v>3</v>
      </c>
      <c r="E41" t="s">
        <v>4</v>
      </c>
      <c r="F41" t="s">
        <v>5</v>
      </c>
      <c r="G41" t="s">
        <v>12</v>
      </c>
      <c r="H41" t="s">
        <v>13</v>
      </c>
      <c r="I41" s="1" t="s">
        <v>6</v>
      </c>
      <c r="J41" t="s">
        <v>7</v>
      </c>
      <c r="K41" t="s">
        <v>8</v>
      </c>
      <c r="L41" t="s">
        <v>9</v>
      </c>
      <c r="M41" t="s">
        <v>10</v>
      </c>
      <c r="N41" t="s">
        <v>11</v>
      </c>
    </row>
    <row r="42" spans="1:14" x14ac:dyDescent="0.35">
      <c r="A42">
        <f>D7</f>
        <v>0</v>
      </c>
      <c r="B42">
        <f>D9</f>
        <v>0</v>
      </c>
      <c r="C42" s="14">
        <f>D11</f>
        <v>0</v>
      </c>
      <c r="D42" s="13">
        <f>D13</f>
        <v>0</v>
      </c>
      <c r="E42">
        <f>D15</f>
        <v>0</v>
      </c>
      <c r="F42">
        <f>D17</f>
        <v>0</v>
      </c>
      <c r="G42">
        <f>D19</f>
        <v>0</v>
      </c>
      <c r="H42">
        <f>I7</f>
        <v>0</v>
      </c>
      <c r="I42" s="11">
        <f>I9</f>
        <v>0</v>
      </c>
      <c r="J42" s="12">
        <f>I11</f>
        <v>0</v>
      </c>
      <c r="K42" s="12">
        <f>I13</f>
        <v>0</v>
      </c>
      <c r="L42" t="str">
        <f>IF(S8=1,"Manager","Director")</f>
        <v>Director</v>
      </c>
      <c r="M42" s="12">
        <f>I17</f>
        <v>0</v>
      </c>
      <c r="N42">
        <f>I19</f>
        <v>0</v>
      </c>
    </row>
  </sheetData>
  <sortState xmlns:xlrd2="http://schemas.microsoft.com/office/spreadsheetml/2017/richdata2" ref="A7:G20">
    <sortCondition ref="A7:A20"/>
  </sortState>
  <mergeCells count="2">
    <mergeCell ref="B21:D21"/>
    <mergeCell ref="B4:N4"/>
  </mergeCells>
  <conditionalFormatting sqref="D7 I7 D9 D11 I11 D13 I13 D15 D17 I17 D19 I19 I9">
    <cfRule type="notContainsBlanks" dxfId="4" priority="8">
      <formula>LEN(TRIM(D7))&gt;0</formula>
    </cfRule>
    <cfRule type="containsBlanks" dxfId="3" priority="9">
      <formula>LEN(TRIM(D7))=0</formula>
    </cfRule>
  </conditionalFormatting>
  <conditionalFormatting sqref="G38:G39">
    <cfRule type="expression" dxfId="2" priority="6">
      <formula>$S$13="TRUE"</formula>
    </cfRule>
  </conditionalFormatting>
  <conditionalFormatting sqref="G38">
    <cfRule type="expression" dxfId="1" priority="2">
      <formula>$S$13="TRUE"</formula>
    </cfRule>
    <cfRule type="expression" dxfId="0" priority="1">
      <formula>$S$13=TRUE</formula>
    </cfRule>
  </conditionalFormatting>
  <dataValidations count="2">
    <dataValidation type="decimal" operator="greaterThan" allowBlank="1" showInputMessage="1" showErrorMessage="1" sqref="D11 D13" xr:uid="{2EE58197-1C47-4185-9130-9D2B35455028}">
      <formula1>0</formula1>
    </dataValidation>
    <dataValidation type="date" operator="greaterThanOrEqual" showInputMessage="1" showErrorMessage="1" sqref="I17" xr:uid="{368A48AA-B841-4259-98CD-38A5C0FF5620}">
      <formula1>I9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Option Button 2">
              <controlPr defaultSize="0" autoFill="0" autoLine="0" autoPict="0">
                <anchor moveWithCells="1">
                  <from>
                    <xdr:col>8</xdr:col>
                    <xdr:colOff>57150</xdr:colOff>
                    <xdr:row>14</xdr:row>
                    <xdr:rowOff>38100</xdr:rowOff>
                  </from>
                  <to>
                    <xdr:col>8</xdr:col>
                    <xdr:colOff>590550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Option Button 3">
              <controlPr defaultSize="0" autoFill="0" autoLine="0" autoPict="0">
                <anchor moveWithCells="1">
                  <from>
                    <xdr:col>8</xdr:col>
                    <xdr:colOff>1009650</xdr:colOff>
                    <xdr:row>14</xdr:row>
                    <xdr:rowOff>19050</xdr:rowOff>
                  </from>
                  <to>
                    <xdr:col>8</xdr:col>
                    <xdr:colOff>1476375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>
                <anchor moveWithCells="1">
                  <from>
                    <xdr:col>1</xdr:col>
                    <xdr:colOff>95250</xdr:colOff>
                    <xdr:row>20</xdr:row>
                    <xdr:rowOff>47625</xdr:rowOff>
                  </from>
                  <to>
                    <xdr:col>1</xdr:col>
                    <xdr:colOff>333375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A3B0D624-FDB6-498E-BAEB-4BD7ED9536AB}">
            <x14:iconSet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" iconId="2"/>
            </x14:iconSet>
          </x14:cfRule>
          <xm:sqref>E9 E11 E13 E15 E17 E19 J19 J17 J15 J13 J11 J9 J7 E7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showInputMessage="1" showErrorMessage="1" xr:uid="{2BE571C9-29AE-4553-BA99-D971206B1719}">
          <x14:formula1>
            <xm:f>Backend!$A$2:$A$20</xm:f>
          </x14:formula1>
          <xm:sqref>D7</xm:sqref>
        </x14:dataValidation>
        <x14:dataValidation type="list" showInputMessage="1" showErrorMessage="1" xr:uid="{7A674EFD-F2BC-40A5-83EA-98BACA299307}">
          <x14:formula1>
            <xm:f>Backend!$B$2:$B$20</xm:f>
          </x14:formula1>
          <xm:sqref>D9</xm:sqref>
        </x14:dataValidation>
        <x14:dataValidation type="list" showInputMessage="1" showErrorMessage="1" xr:uid="{961798F7-8357-4BB6-96D3-98F0EF089CBE}">
          <x14:formula1>
            <xm:f>Backend!$C$2:$C$6</xm:f>
          </x14:formula1>
          <xm:sqref>D15</xm:sqref>
        </x14:dataValidation>
        <x14:dataValidation type="list" showInputMessage="1" showErrorMessage="1" xr:uid="{416A69FB-C928-4B94-9F9C-64AC0E84F949}">
          <x14:formula1>
            <xm:f>Backend!$D$2:$D$6</xm:f>
          </x14:formula1>
          <xm:sqref>D17</xm:sqref>
        </x14:dataValidation>
        <x14:dataValidation type="list" showInputMessage="1" showErrorMessage="1" xr:uid="{357FB849-9450-4C26-9D28-4E6CA68A9197}">
          <x14:formula1>
            <xm:f>Backend!$E$2:$E$7</xm:f>
          </x14:formula1>
          <xm:sqref>I13</xm:sqref>
        </x14:dataValidation>
        <x14:dataValidation type="list" showInputMessage="1" showErrorMessage="1" xr:uid="{4CFF50C2-1BDE-4308-95EB-AA7868907072}">
          <x14:formula1>
            <xm:f>Backend!$F$2:$F$10</xm:f>
          </x14:formula1>
          <xm:sqref>I19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F1EFA-C34C-403E-990B-421522151045}">
  <sheetPr codeName="Sheet1"/>
  <dimension ref="A1:N8"/>
  <sheetViews>
    <sheetView workbookViewId="0">
      <selection activeCell="A4" sqref="A4"/>
    </sheetView>
  </sheetViews>
  <sheetFormatPr defaultRowHeight="15" x14ac:dyDescent="0.25"/>
  <cols>
    <col min="1" max="1" width="6.85546875" bestFit="1" customWidth="1"/>
    <col min="2" max="2" width="13.28515625" bestFit="1" customWidth="1"/>
    <col min="3" max="3" width="8.85546875" style="14"/>
    <col min="4" max="4" width="10" style="13" bestFit="1" customWidth="1"/>
    <col min="5" max="5" width="10.140625" bestFit="1" customWidth="1"/>
    <col min="6" max="6" width="12.7109375" bestFit="1" customWidth="1"/>
    <col min="7" max="8" width="12.7109375" customWidth="1"/>
    <col min="9" max="9" width="12.28515625" style="12" bestFit="1" customWidth="1"/>
    <col min="10" max="10" width="10.5703125" style="12" bestFit="1" customWidth="1"/>
    <col min="11" max="11" width="13.140625" bestFit="1" customWidth="1"/>
    <col min="12" max="12" width="11.140625" bestFit="1" customWidth="1"/>
    <col min="13" max="13" width="12.5703125" style="12" bestFit="1" customWidth="1"/>
    <col min="14" max="14" width="11" bestFit="1" customWidth="1"/>
  </cols>
  <sheetData>
    <row r="1" spans="1:14" x14ac:dyDescent="0.25">
      <c r="A1" s="15" t="s">
        <v>0</v>
      </c>
      <c r="B1" s="15" t="s">
        <v>1</v>
      </c>
      <c r="C1" s="16" t="s">
        <v>2</v>
      </c>
      <c r="D1" s="17" t="s">
        <v>3</v>
      </c>
      <c r="E1" s="15" t="s">
        <v>4</v>
      </c>
      <c r="F1" s="15" t="s">
        <v>5</v>
      </c>
      <c r="G1" s="15" t="s">
        <v>12</v>
      </c>
      <c r="H1" s="15" t="s">
        <v>13</v>
      </c>
      <c r="I1" s="18" t="s">
        <v>6</v>
      </c>
      <c r="J1" s="18" t="s">
        <v>7</v>
      </c>
      <c r="K1" s="15" t="s">
        <v>8</v>
      </c>
      <c r="L1" s="15" t="s">
        <v>9</v>
      </c>
      <c r="M1" s="18" t="s">
        <v>10</v>
      </c>
      <c r="N1" s="15" t="s">
        <v>11</v>
      </c>
    </row>
    <row r="2" spans="1:14" x14ac:dyDescent="0.25">
      <c r="A2" s="23" t="s">
        <v>20</v>
      </c>
      <c r="B2" s="24" t="s">
        <v>21</v>
      </c>
      <c r="C2" s="25">
        <v>5</v>
      </c>
      <c r="D2" s="26">
        <v>8</v>
      </c>
      <c r="E2" s="24" t="s">
        <v>56</v>
      </c>
      <c r="F2" s="24" t="s">
        <v>61</v>
      </c>
      <c r="G2" s="24">
        <v>7</v>
      </c>
      <c r="H2" s="24">
        <v>7</v>
      </c>
      <c r="I2" s="27">
        <v>45237</v>
      </c>
      <c r="J2" s="27">
        <v>45243</v>
      </c>
      <c r="K2" s="24">
        <v>45230</v>
      </c>
      <c r="L2" s="24" t="s">
        <v>73</v>
      </c>
      <c r="M2" s="27">
        <v>45251</v>
      </c>
      <c r="N2" s="28">
        <v>258456</v>
      </c>
    </row>
    <row r="3" spans="1:14" x14ac:dyDescent="0.25">
      <c r="A3" s="33" t="s">
        <v>20</v>
      </c>
      <c r="B3" s="33" t="s">
        <v>21</v>
      </c>
      <c r="C3" s="34">
        <v>4</v>
      </c>
      <c r="D3" s="35">
        <v>2</v>
      </c>
      <c r="E3" s="33" t="s">
        <v>54</v>
      </c>
      <c r="F3" s="33" t="s">
        <v>61</v>
      </c>
      <c r="G3" s="33">
        <v>1</v>
      </c>
      <c r="H3" s="33">
        <v>2</v>
      </c>
      <c r="I3" s="36">
        <v>45236</v>
      </c>
      <c r="J3" s="36">
        <v>45235</v>
      </c>
      <c r="K3" s="33" t="s">
        <v>66</v>
      </c>
      <c r="L3" s="33" t="s">
        <v>73</v>
      </c>
      <c r="M3" s="36">
        <v>45244</v>
      </c>
      <c r="N3" s="33">
        <v>45233</v>
      </c>
    </row>
    <row r="4" spans="1:14" x14ac:dyDescent="0.25">
      <c r="A4" s="33" t="s">
        <v>22</v>
      </c>
      <c r="B4" s="33" t="s">
        <v>21</v>
      </c>
      <c r="C4" s="34">
        <v>5</v>
      </c>
      <c r="D4" s="35">
        <v>2</v>
      </c>
      <c r="E4" s="33" t="s">
        <v>56</v>
      </c>
      <c r="F4" s="33" t="s">
        <v>61</v>
      </c>
      <c r="G4" s="33">
        <v>22</v>
      </c>
      <c r="H4" s="33">
        <v>44</v>
      </c>
      <c r="I4" s="36">
        <v>45230</v>
      </c>
      <c r="J4" s="36">
        <v>45244</v>
      </c>
      <c r="K4" s="33" t="s">
        <v>66</v>
      </c>
      <c r="L4" s="33" t="s">
        <v>73</v>
      </c>
      <c r="M4" s="36">
        <v>45244</v>
      </c>
      <c r="N4" s="33">
        <v>54789</v>
      </c>
    </row>
    <row r="5" spans="1:14" x14ac:dyDescent="0.25">
      <c r="A5" s="33" t="s">
        <v>20</v>
      </c>
      <c r="B5" s="33" t="s">
        <v>19</v>
      </c>
      <c r="C5" s="34">
        <v>2</v>
      </c>
      <c r="D5" s="35">
        <v>3</v>
      </c>
      <c r="E5" s="33" t="s">
        <v>57</v>
      </c>
      <c r="F5" s="33" t="s">
        <v>60</v>
      </c>
      <c r="G5" s="33">
        <v>2</v>
      </c>
      <c r="H5" s="33">
        <v>2</v>
      </c>
      <c r="I5" s="36">
        <v>45236</v>
      </c>
      <c r="J5" s="36">
        <v>45232</v>
      </c>
      <c r="K5" s="33">
        <v>45243</v>
      </c>
      <c r="L5" s="33" t="s">
        <v>73</v>
      </c>
      <c r="M5" s="36">
        <v>45254</v>
      </c>
      <c r="N5" s="33">
        <v>2587</v>
      </c>
    </row>
    <row r="6" spans="1:14" x14ac:dyDescent="0.25">
      <c r="A6" s="33" t="s">
        <v>26</v>
      </c>
      <c r="B6" s="33" t="s">
        <v>21</v>
      </c>
      <c r="C6" s="34">
        <v>2</v>
      </c>
      <c r="D6" s="35">
        <v>5</v>
      </c>
      <c r="E6" s="33" t="s">
        <v>58</v>
      </c>
      <c r="F6" s="33" t="s">
        <v>61</v>
      </c>
      <c r="G6" s="33">
        <v>222</v>
      </c>
      <c r="H6" s="33">
        <v>520</v>
      </c>
      <c r="I6" s="36">
        <v>45230</v>
      </c>
      <c r="J6" s="36">
        <v>45245</v>
      </c>
      <c r="K6" s="33" t="s">
        <v>67</v>
      </c>
      <c r="L6" s="33" t="s">
        <v>73</v>
      </c>
      <c r="M6" s="36">
        <v>45243</v>
      </c>
      <c r="N6" s="33">
        <v>2587</v>
      </c>
    </row>
    <row r="7" spans="1:14" x14ac:dyDescent="0.25">
      <c r="A7" s="33">
        <v>0</v>
      </c>
      <c r="B7" s="33">
        <v>0</v>
      </c>
      <c r="C7" s="34">
        <v>0</v>
      </c>
      <c r="D7" s="35">
        <v>0</v>
      </c>
      <c r="E7" s="33">
        <v>0</v>
      </c>
      <c r="F7" s="33">
        <v>0</v>
      </c>
      <c r="G7" s="33">
        <v>0</v>
      </c>
      <c r="H7" s="33">
        <v>0</v>
      </c>
      <c r="I7" s="36">
        <v>0</v>
      </c>
      <c r="J7" s="36">
        <v>0</v>
      </c>
      <c r="K7" s="33">
        <v>0</v>
      </c>
      <c r="L7" s="33" t="s">
        <v>73</v>
      </c>
      <c r="M7" s="36">
        <v>0</v>
      </c>
      <c r="N7" s="33">
        <v>0</v>
      </c>
    </row>
    <row r="8" spans="1:14" x14ac:dyDescent="0.25">
      <c r="A8" s="29" t="s">
        <v>22</v>
      </c>
      <c r="B8" s="29" t="s">
        <v>25</v>
      </c>
      <c r="C8" s="30">
        <v>55</v>
      </c>
      <c r="D8" s="31">
        <v>6554</v>
      </c>
      <c r="E8" s="29" t="s">
        <v>58</v>
      </c>
      <c r="F8" s="29" t="s">
        <v>60</v>
      </c>
      <c r="G8" s="29">
        <v>65</v>
      </c>
      <c r="H8" s="29">
        <v>166</v>
      </c>
      <c r="I8" s="32">
        <v>45242</v>
      </c>
      <c r="J8" s="32">
        <v>45251</v>
      </c>
      <c r="K8" s="29" t="s">
        <v>66</v>
      </c>
      <c r="L8" s="29" t="s">
        <v>73</v>
      </c>
      <c r="M8" s="32">
        <v>45258</v>
      </c>
      <c r="N8" s="29">
        <v>2587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7AE21-FAA0-4D4D-877D-DCC3DBA6D988}">
  <sheetPr codeName="Sheet3"/>
  <dimension ref="A1:F20"/>
  <sheetViews>
    <sheetView workbookViewId="0">
      <selection activeCell="D24" sqref="D24"/>
    </sheetView>
  </sheetViews>
  <sheetFormatPr defaultRowHeight="15" x14ac:dyDescent="0.25"/>
  <cols>
    <col min="1" max="1" width="26.42578125" customWidth="1"/>
    <col min="2" max="2" width="25.7109375" bestFit="1" customWidth="1"/>
    <col min="4" max="4" width="10.140625" bestFit="1" customWidth="1"/>
  </cols>
  <sheetData>
    <row r="1" spans="1:6" x14ac:dyDescent="0.25">
      <c r="A1" s="2"/>
      <c r="B1" s="2"/>
    </row>
    <row r="2" spans="1:6" x14ac:dyDescent="0.25">
      <c r="A2" s="3" t="s">
        <v>16</v>
      </c>
      <c r="B2" s="3" t="s">
        <v>17</v>
      </c>
      <c r="C2" t="s">
        <v>54</v>
      </c>
      <c r="D2" t="s">
        <v>59</v>
      </c>
      <c r="E2" t="s">
        <v>64</v>
      </c>
      <c r="F2">
        <v>123</v>
      </c>
    </row>
    <row r="3" spans="1:6" x14ac:dyDescent="0.25">
      <c r="A3" s="3" t="s">
        <v>18</v>
      </c>
      <c r="B3" s="3" t="s">
        <v>19</v>
      </c>
      <c r="C3" t="s">
        <v>56</v>
      </c>
      <c r="D3" t="s">
        <v>60</v>
      </c>
      <c r="E3" t="s">
        <v>65</v>
      </c>
      <c r="F3">
        <v>21</v>
      </c>
    </row>
    <row r="4" spans="1:6" x14ac:dyDescent="0.25">
      <c r="A4" s="3" t="s">
        <v>20</v>
      </c>
      <c r="B4" s="3" t="s">
        <v>21</v>
      </c>
      <c r="C4" t="s">
        <v>57</v>
      </c>
      <c r="D4" t="s">
        <v>61</v>
      </c>
      <c r="E4" t="s">
        <v>66</v>
      </c>
      <c r="F4">
        <v>54789</v>
      </c>
    </row>
    <row r="5" spans="1:6" x14ac:dyDescent="0.25">
      <c r="A5" s="3" t="s">
        <v>22</v>
      </c>
      <c r="B5" s="3" t="s">
        <v>23</v>
      </c>
      <c r="C5" t="s">
        <v>55</v>
      </c>
      <c r="D5" t="s">
        <v>62</v>
      </c>
      <c r="E5" t="s">
        <v>67</v>
      </c>
      <c r="F5">
        <v>2587</v>
      </c>
    </row>
    <row r="6" spans="1:6" x14ac:dyDescent="0.25">
      <c r="A6" s="3" t="s">
        <v>24</v>
      </c>
      <c r="B6" s="3" t="s">
        <v>25</v>
      </c>
      <c r="C6" t="s">
        <v>58</v>
      </c>
      <c r="D6" t="s">
        <v>63</v>
      </c>
      <c r="E6" t="s">
        <v>68</v>
      </c>
      <c r="F6">
        <v>74520</v>
      </c>
    </row>
    <row r="7" spans="1:6" x14ac:dyDescent="0.25">
      <c r="A7" s="3" t="s">
        <v>26</v>
      </c>
      <c r="B7" s="3" t="s">
        <v>27</v>
      </c>
      <c r="E7" t="s">
        <v>69</v>
      </c>
      <c r="F7">
        <v>7523</v>
      </c>
    </row>
    <row r="8" spans="1:6" x14ac:dyDescent="0.25">
      <c r="A8" s="3" t="s">
        <v>28</v>
      </c>
      <c r="B8" s="3" t="s">
        <v>29</v>
      </c>
      <c r="F8">
        <v>258456</v>
      </c>
    </row>
    <row r="9" spans="1:6" x14ac:dyDescent="0.25">
      <c r="A9" s="3" t="s">
        <v>30</v>
      </c>
      <c r="B9" s="3" t="s">
        <v>31</v>
      </c>
      <c r="F9">
        <v>2575656</v>
      </c>
    </row>
    <row r="10" spans="1:6" x14ac:dyDescent="0.25">
      <c r="A10" s="3" t="s">
        <v>32</v>
      </c>
      <c r="B10" s="3" t="s">
        <v>33</v>
      </c>
      <c r="F10">
        <v>4558456</v>
      </c>
    </row>
    <row r="11" spans="1:6" x14ac:dyDescent="0.25">
      <c r="A11" s="3" t="s">
        <v>34</v>
      </c>
      <c r="B11" s="3" t="s">
        <v>35</v>
      </c>
    </row>
    <row r="12" spans="1:6" x14ac:dyDescent="0.25">
      <c r="A12" s="3" t="s">
        <v>36</v>
      </c>
      <c r="B12" s="3" t="s">
        <v>37</v>
      </c>
    </row>
    <row r="13" spans="1:6" x14ac:dyDescent="0.25">
      <c r="A13" s="3" t="s">
        <v>38</v>
      </c>
      <c r="B13" s="3" t="s">
        <v>39</v>
      </c>
    </row>
    <row r="14" spans="1:6" x14ac:dyDescent="0.25">
      <c r="A14" s="3" t="s">
        <v>40</v>
      </c>
      <c r="B14" s="3" t="s">
        <v>41</v>
      </c>
    </row>
    <row r="15" spans="1:6" x14ac:dyDescent="0.25">
      <c r="A15" s="3" t="s">
        <v>42</v>
      </c>
      <c r="B15" s="3" t="s">
        <v>43</v>
      </c>
    </row>
    <row r="16" spans="1:6" x14ac:dyDescent="0.25">
      <c r="A16" s="3" t="s">
        <v>44</v>
      </c>
      <c r="B16" s="3" t="s">
        <v>45</v>
      </c>
    </row>
    <row r="17" spans="1:2" x14ac:dyDescent="0.25">
      <c r="A17" s="3" t="s">
        <v>46</v>
      </c>
      <c r="B17" s="3" t="s">
        <v>47</v>
      </c>
    </row>
    <row r="18" spans="1:2" x14ac:dyDescent="0.25">
      <c r="A18" s="3" t="s">
        <v>48</v>
      </c>
      <c r="B18" s="3" t="s">
        <v>49</v>
      </c>
    </row>
    <row r="19" spans="1:2" x14ac:dyDescent="0.25">
      <c r="A19" s="3" t="s">
        <v>50</v>
      </c>
      <c r="B19" s="3" t="s">
        <v>51</v>
      </c>
    </row>
    <row r="20" spans="1:2" x14ac:dyDescent="0.25">
      <c r="A20" s="4" t="s">
        <v>52</v>
      </c>
      <c r="B20" s="4" t="s">
        <v>53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Form</vt:lpstr>
      <vt:lpstr>Database</vt:lpstr>
      <vt:lpstr>Backend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 chaitanya thota</dc:creator>
  <cp:lastModifiedBy>Vasanthi Vadlamudi</cp:lastModifiedBy>
  <dcterms:created xsi:type="dcterms:W3CDTF">2023-11-05T17:32:12Z</dcterms:created>
  <dcterms:modified xsi:type="dcterms:W3CDTF">2023-11-06T14:37:47Z</dcterms:modified>
</cp:coreProperties>
</file>